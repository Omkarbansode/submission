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BusinessComputers.in\Downloads\"/>
    </mc:Choice>
  </mc:AlternateContent>
  <bookViews>
    <workbookView xWindow="0" yWindow="500" windowWidth="29400" windowHeight="16300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20" l="1"/>
  <c r="C30" i="20"/>
  <c r="C31" i="20"/>
  <c r="C32" i="20"/>
  <c r="C34" i="20"/>
  <c r="C35" i="20"/>
  <c r="C24" i="20"/>
  <c r="C25" i="20"/>
  <c r="C26" i="20"/>
  <c r="C27" i="20"/>
  <c r="C28" i="20"/>
  <c r="C29" i="20"/>
  <c r="C23" i="20"/>
  <c r="D22" i="19"/>
  <c r="D13" i="19"/>
  <c r="D14" i="19"/>
  <c r="D15" i="19"/>
  <c r="D16" i="19"/>
  <c r="D17" i="19"/>
  <c r="D18" i="19"/>
  <c r="D19" i="19"/>
  <c r="D20" i="19"/>
  <c r="D21" i="19"/>
  <c r="D12" i="19"/>
  <c r="C30" i="18"/>
  <c r="D30" i="18"/>
  <c r="E30" i="18"/>
  <c r="F30" i="18"/>
  <c r="C29" i="18"/>
  <c r="D29" i="18"/>
  <c r="E29" i="18"/>
  <c r="F29" i="18"/>
  <c r="B30" i="18"/>
  <c r="B29" i="18"/>
  <c r="C28" i="18"/>
  <c r="D28" i="18"/>
  <c r="E28" i="18"/>
  <c r="F28" i="18"/>
  <c r="B28" i="18"/>
  <c r="E21" i="18"/>
  <c r="F21" i="18"/>
  <c r="E22" i="18"/>
  <c r="F22" i="18"/>
  <c r="E23" i="18"/>
  <c r="F23" i="18"/>
  <c r="E24" i="18"/>
  <c r="F24" i="18"/>
  <c r="E25" i="18"/>
  <c r="F25" i="18"/>
  <c r="E26" i="18"/>
  <c r="F26" i="18"/>
  <c r="E27" i="18"/>
  <c r="F27" i="18"/>
  <c r="E7" i="18"/>
  <c r="F7" i="18"/>
  <c r="E8" i="18"/>
  <c r="F8" i="18"/>
  <c r="E9" i="18"/>
  <c r="F9" i="18"/>
  <c r="E10" i="18"/>
  <c r="F10" i="18"/>
  <c r="E11" i="18"/>
  <c r="F11" i="18"/>
  <c r="E12" i="18"/>
  <c r="F12" i="18"/>
  <c r="E13" i="18"/>
  <c r="F13" i="18"/>
  <c r="E14" i="18"/>
  <c r="F14" i="18"/>
  <c r="E15" i="18"/>
  <c r="F15" i="18"/>
  <c r="E16" i="18"/>
  <c r="F16" i="18"/>
  <c r="E17" i="18"/>
  <c r="F17" i="18"/>
  <c r="E18" i="18"/>
  <c r="F18" i="18"/>
  <c r="E19" i="18"/>
  <c r="F19" i="18"/>
  <c r="E20" i="18"/>
  <c r="F20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<sst xmlns="http://schemas.openxmlformats.org/spreadsheetml/2006/main" count="407" uniqueCount="184">
  <si>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</si>
  <si>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</si>
  <si>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</si>
  <si>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</si>
  <si>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</si>
  <si>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</si>
  <si>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</si>
  <si>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</si>
  <si>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</si>
  <si>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</si>
  <si>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</si>
  <si>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</si>
  <si>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</si>
  <si>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</si>
  <si>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</si>
  <si>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</si>
  <si>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</si>
  <si>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</si>
  <si>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</si>
  <si>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</si>
  <si>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</si>
  <si>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</si>
  <si>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</si>
  <si>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</si>
  <si>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</si>
  <si>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</si>
  <si>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</si>
  <si>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</si>
  <si>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</si>
  <si>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</si>
  <si>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</si>
  <si>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</si>
  <si>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</si>
  <si>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</si>
  <si>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</si>
  <si>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</si>
  <si>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</si>
  <si>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</si>
  <si>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</si>
  <si>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</si>
  <si>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</si>
  <si>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</si>
  <si>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</si>
  <si>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</si>
  <si>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</si>
  <si>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</si>
  <si>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</si>
  <si>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</si>
  <si>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</si>
  <si>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</si>
  <si>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</si>
  <si>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</si>
  <si>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</si>
  <si>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</si>
  <si>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</si>
  <si>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</si>
  <si>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</si>
  <si>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</si>
  <si>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</si>
  <si>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</si>
  <si>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</si>
  <si>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</si>
  <si>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</si>
  <si>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</si>
  <si>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</si>
  <si>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</si>
  <si>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</si>
  <si>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</si>
  <si>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</si>
  <si>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</si>
  <si>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</si>
  <si>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</si>
  <si>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</si>
  <si>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</si>
  <si>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</si>
  <si>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</si>
  <si>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</si>
  <si>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</si>
  <si>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</si>
  <si>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</si>
  <si>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</si>
  <si>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</si>
  <si>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</si>
  <si>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</si>
  <si>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</si>
  <si>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</si>
  <si>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</si>
  <si>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</si>
  <si>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</si>
  <si>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</si>
  <si>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</si>
  <si>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</si>
  <si>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</si>
  <si>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</si>
  <si>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</si>
  <si>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</si>
  <si>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</si>
  <si>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</si>
  <si>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</si>
  <si>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</si>
  <si>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</si>
  <si>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</si>
  <si>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</si>
  <si>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</si>
  <si>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</si>
  <si>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</si>
  <si>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</si>
  <si>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</si>
  <si>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</si>
  <si>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</si>
  <si>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</si>
  <si>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</si>
  <si>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</si>
  <si>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</si>
  <si>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</si>
  <si>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</si>
  <si>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</si>
  <si>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</si>
  <si>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</si>
  <si>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</si>
  <si>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</si>
  <si>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</si>
  <si>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</si>
  <si>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</si>
  <si>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</si>
  <si>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</si>
  <si>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</si>
  <si>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</si>
  <si>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</si>
  <si>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</si>
  <si>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</si>
  <si>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</si>
  <si>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</si>
  <si>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</si>
  <si>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</si>
  <si>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</si>
  <si>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</si>
  <si>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</si>
  <si>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</si>
  <si>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</si>
  <si>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</si>
  <si>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</si>
  <si>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</si>
  <si>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</si>
  <si>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</si>
  <si>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</si>
  <si>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</si>
  <si>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</si>
  <si>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</si>
  <si>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</si>
  <si>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</si>
  <si>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</si>
  <si>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</si>
  <si>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</si>
  <si>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</si>
  <si>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</si>
  <si>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</si>
  <si>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</si>
  <si>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</si>
  <si>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</si>
  <si>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</si>
  <si>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</si>
  <si>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</si>
  <si>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</si>
  <si>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</si>
  <si>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</si>
  <si>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</si>
  <si>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</si>
  <si>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</si>
  <si>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</si>
  <si>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</si>
  <si>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</si>
  <si>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</si>
  <si>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</si>
  <si>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</si>
  <si>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</si>
  <si>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SUMIFS(H1:H40,H1:H40,"&gt;20")</t>
  </si>
  <si>
    <t xml:space="preserve">Text to column </t>
  </si>
  <si>
    <t>The following process is use to get data in the table( data-text to column-delimination-next-  space,other-finish)</t>
  </si>
  <si>
    <t>New sales</t>
  </si>
  <si>
    <t>iferror and sum formulla is used</t>
  </si>
  <si>
    <r>
      <t xml:space="preserve">condition </t>
    </r>
    <r>
      <rPr>
        <b/>
        <sz val="11"/>
        <color rgb="FF000000"/>
        <rFont val="Calibri"/>
        <family val="2"/>
        <scheme val="minor"/>
      </rPr>
      <t>iferror</t>
    </r>
    <r>
      <rPr>
        <sz val="11"/>
        <color rgb="FF000000"/>
        <rFont val="Calibri"/>
        <family val="2"/>
        <scheme val="minor"/>
      </rPr>
      <t xml:space="preserve"> is used and the #N/A is replaced by 20 and then the sum of all values are measured it is equal to 600</t>
    </r>
  </si>
  <si>
    <t>IF(ISERROR(VLOOKUP(A12,$B$2:$B$1001,1,FALSE)),FALSE,TRUE)</t>
  </si>
  <si>
    <r>
      <t>Here the</t>
    </r>
    <r>
      <rPr>
        <b/>
        <sz val="10"/>
        <color rgb="FF000000"/>
        <rFont val="Calibri"/>
        <family val="2"/>
        <scheme val="minor"/>
      </rPr>
      <t xml:space="preserve"> vlookup</t>
    </r>
    <r>
      <rPr>
        <sz val="10"/>
        <color rgb="FF000000"/>
        <rFont val="Calibri"/>
        <family val="2"/>
        <scheme val="minor"/>
      </rPr>
      <t xml:space="preserve"> is used with </t>
    </r>
    <r>
      <rPr>
        <b/>
        <sz val="10"/>
        <color rgb="FF000000"/>
        <rFont val="Calibri"/>
        <family val="2"/>
        <scheme val="minor"/>
      </rPr>
      <t>ISERROR</t>
    </r>
    <r>
      <rPr>
        <sz val="10"/>
        <color rgb="FF000000"/>
        <rFont val="Calibri"/>
        <family val="2"/>
        <scheme val="minor"/>
      </rPr>
      <t xml:space="preserve"> condition with </t>
    </r>
    <r>
      <rPr>
        <b/>
        <sz val="10"/>
        <color rgb="FF000000"/>
        <rFont val="Calibri"/>
        <family val="2"/>
        <scheme val="minor"/>
      </rPr>
      <t>TRUE FALSE</t>
    </r>
    <r>
      <rPr>
        <sz val="10"/>
        <color rgb="FF000000"/>
        <rFont val="Calibri"/>
        <family val="2"/>
        <scheme val="minor"/>
      </rPr>
      <t xml:space="preserve"> condition and for that </t>
    </r>
    <r>
      <rPr>
        <b/>
        <sz val="10"/>
        <color rgb="FF000000"/>
        <rFont val="Calibri"/>
        <family val="2"/>
        <scheme val="minor"/>
      </rPr>
      <t xml:space="preserve"> IF</t>
    </r>
    <r>
      <rPr>
        <sz val="10"/>
        <color rgb="FF000000"/>
        <rFont val="Calibri"/>
        <family val="2"/>
        <scheme val="minor"/>
      </rPr>
      <t xml:space="preserve"> function is used for formulla.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</si>
</sst>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7" formatCode="[$-14009]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202124"/>
      <name val="Arial"/>
      <family val="2"/>
    </font>
    <font>
      <b/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7" fontId="7" fillId="0" borderId="0" xfId="0" applyNumberFormat="1" applyFont="1"/>
    <xf numFmtId="167" fontId="3" fillId="0" borderId="0" xfId="0" applyNumberFormat="1" applyFont="1"/>
    <xf numFmtId="0" fontId="18" fillId="0" borderId="0" xfId="0" applyFont="1" applyAlignment="1">
      <alignment horizontal="left"/>
    </xf>
    <xf numFmtId="0" fontId="3" fillId="0" borderId="0" xfId="0" applyFont="1" applyBorder="1"/>
    <xf numFmtId="0" fontId="8" fillId="0" borderId="0" xfId="0" applyFont="1" applyBorder="1"/>
    <xf numFmtId="0" fontId="8" fillId="0" borderId="12" xfId="0" applyFont="1" applyBorder="1"/>
    <xf numFmtId="0" fontId="3" fillId="0" borderId="0" xfId="0" applyFont="1" applyAlignment="1">
      <alignment horizontal="center"/>
    </xf>
    <xf numFmtId="0" fontId="8" fillId="0" borderId="11" xfId="0" applyFont="1" applyBorder="1"/>
    <xf numFmtId="0" fontId="19" fillId="0" borderId="0" xfId="0" applyFont="1"/>
    <xf numFmtId="0" fontId="20" fillId="0" borderId="0" xfId="0" applyFont="1" applyAlignment="1">
      <alignment horizontal="left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>
      <selection activeCell="B25" sqref="B25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4" t="s">
        <v>170</v>
      </c>
      <c r="B9" s="25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opLeftCell="N1" zoomScaleNormal="100" workbookViewId="0">
      <pane ySplit="1" topLeftCell="A20" activePane="bottomLeft" state="frozen"/>
      <selection pane="bottomLeft" activeCell="G2" sqref="G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3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2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1" spans="1:24" x14ac:dyDescent="0.35">
      <c r="H41" s="1">
        <f>SUMIFS(H1:H40,H1:H40,"&gt;20")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2" t="s">
        <v>176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7" zoomScaleNormal="100" workbookViewId="0">
      <selection activeCell="H26" sqref="H2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163</v>
      </c>
    </row>
    <row r="2" spans="1:7" s="39" customFormat="1" ht="21" x14ac:dyDescent="0.5">
      <c r="B2" s="39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VLOOKUP(Task_2!A6,Dataset!A2:X40,7,FALSE)</f>
        <v>2.7</v>
      </c>
      <c r="C6" s="11">
        <f>VLOOKUP(A6,Dataset!A2:X40,14,FALSE)</f>
        <v>7.6</v>
      </c>
      <c r="D6" s="11">
        <f>VLOOKUP(A6,Dataset!A2:X40,18,FALSE)</f>
        <v>4.2</v>
      </c>
      <c r="E6" s="11">
        <f>VLOOKUP(A6,Dataset!A2:X40,20,FALSE)</f>
        <v>8.9</v>
      </c>
      <c r="F6" s="11">
        <f>VLOOKUP(A6,Dataset!A2:X40,22,0)</f>
        <v>4.2</v>
      </c>
    </row>
    <row r="7" spans="1:7" ht="14.5" x14ac:dyDescent="0.35">
      <c r="A7" s="7" t="s">
        <v>4</v>
      </c>
      <c r="B7" s="11">
        <f>VLOOKUP(Task_2!A7,Dataset!A3:X41,7,FALSE)</f>
        <v>2.7</v>
      </c>
      <c r="C7" s="11">
        <f>VLOOKUP(A7,Dataset!A3:X41,14,FALSE)</f>
        <v>7.6</v>
      </c>
      <c r="D7" s="11">
        <f>VLOOKUP(A7,Dataset!A3:X41,18,FALSE)</f>
        <v>4.2</v>
      </c>
      <c r="E7" s="11">
        <f>VLOOKUP(A7,Dataset!A3:X41,20,FALSE)</f>
        <v>8.9</v>
      </c>
      <c r="F7" s="11">
        <f>VLOOKUP(A7,Dataset!A3:X41,22,0)</f>
        <v>4.2</v>
      </c>
    </row>
    <row r="8" spans="1:7" ht="14.5" x14ac:dyDescent="0.35">
      <c r="A8" s="7" t="s">
        <v>7</v>
      </c>
      <c r="B8" s="11">
        <f>VLOOKUP(Task_2!A8,Dataset!A4:X42,7,FALSE)</f>
        <v>3.6</v>
      </c>
      <c r="C8" s="11">
        <f>VLOOKUP(A8,Dataset!A4:X42,14,FALSE)</f>
        <v>11.1</v>
      </c>
      <c r="D8" s="11">
        <f>VLOOKUP(A8,Dataset!A4:X42,18,FALSE)</f>
        <v>5.8</v>
      </c>
      <c r="E8" s="11">
        <f>VLOOKUP(A8,Dataset!A4:X42,20,FALSE)</f>
        <v>12.2</v>
      </c>
      <c r="F8" s="11">
        <f>VLOOKUP(A8,Dataset!A4:X42,22,0)</f>
        <v>5.8</v>
      </c>
    </row>
    <row r="9" spans="1:7" ht="14.5" x14ac:dyDescent="0.35">
      <c r="A9" s="7" t="s">
        <v>8</v>
      </c>
      <c r="B9" s="11">
        <f>VLOOKUP(Task_2!A9,Dataset!A5:X43,7,FALSE)</f>
        <v>4.9000000000000004</v>
      </c>
      <c r="C9" s="11">
        <f>VLOOKUP(A9,Dataset!A5:X43,14,FALSE)</f>
        <v>13.3</v>
      </c>
      <c r="D9" s="11">
        <f>VLOOKUP(A9,Dataset!A5:X43,18,FALSE)</f>
        <v>8.1</v>
      </c>
      <c r="E9" s="11">
        <f>VLOOKUP(A9,Dataset!A5:X43,20,FALSE)</f>
        <v>17</v>
      </c>
      <c r="F9" s="11">
        <f>VLOOKUP(A9,Dataset!A5:X43,22,0)</f>
        <v>8.1</v>
      </c>
    </row>
    <row r="10" spans="1:7" ht="14.5" x14ac:dyDescent="0.35">
      <c r="A10" s="7" t="s">
        <v>11</v>
      </c>
      <c r="B10" s="11">
        <f>VLOOKUP(Task_2!A10,Dataset!A6:X44,7,FALSE)</f>
        <v>9.4</v>
      </c>
      <c r="C10" s="11">
        <f>VLOOKUP(A10,Dataset!A6:X44,14,FALSE)</f>
        <v>28.3</v>
      </c>
      <c r="D10" s="11">
        <f>VLOOKUP(A10,Dataset!A6:X44,18,FALSE)</f>
        <v>16.100000000000001</v>
      </c>
      <c r="E10" s="11">
        <f>VLOOKUP(A10,Dataset!A6:X44,20,FALSE)</f>
        <v>32.799999999999997</v>
      </c>
      <c r="F10" s="11">
        <f>VLOOKUP(A10,Dataset!A6:X44,22,0)</f>
        <v>16.100000000000001</v>
      </c>
    </row>
    <row r="11" spans="1:7" ht="14.5" x14ac:dyDescent="0.35">
      <c r="A11" s="7" t="s">
        <v>12</v>
      </c>
      <c r="B11" s="11">
        <f>VLOOKUP(Task_2!A11,Dataset!A7:X45,7,FALSE)</f>
        <v>11.6</v>
      </c>
      <c r="C11" s="11">
        <f>VLOOKUP(A11,Dataset!A7:X45,14,FALSE)</f>
        <v>35.200000000000003</v>
      </c>
      <c r="D11" s="11">
        <f>VLOOKUP(A11,Dataset!A7:X45,18,FALSE)</f>
        <v>21.3</v>
      </c>
      <c r="E11" s="11">
        <f>VLOOKUP(A11,Dataset!A7:X45,20,FALSE)</f>
        <v>43</v>
      </c>
      <c r="F11" s="11">
        <f>VLOOKUP(A11,Dataset!A7:X45,22,0)</f>
        <v>21.3</v>
      </c>
    </row>
    <row r="12" spans="1:7" ht="14.5" x14ac:dyDescent="0.35">
      <c r="A12" s="7" t="s">
        <v>14</v>
      </c>
      <c r="B12" s="11">
        <f>VLOOKUP(Task_2!A12,Dataset!A8:X46,7,FALSE)</f>
        <v>18.399999999999999</v>
      </c>
      <c r="C12" s="11">
        <f>VLOOKUP(A12,Dataset!A8:X46,14,FALSE)</f>
        <v>55.6</v>
      </c>
      <c r="D12" s="11">
        <f>VLOOKUP(A12,Dataset!A8:X46,18,FALSE)</f>
        <v>33.799999999999997</v>
      </c>
      <c r="E12" s="11">
        <f>VLOOKUP(A12,Dataset!A8:X46,20,FALSE)</f>
        <v>67.900000000000006</v>
      </c>
      <c r="F12" s="11">
        <f>VLOOKUP(A12,Dataset!A8:X46,22,0)</f>
        <v>33.799999999999997</v>
      </c>
    </row>
    <row r="13" spans="1:7" ht="14.5" x14ac:dyDescent="0.35">
      <c r="A13" s="7" t="s">
        <v>15</v>
      </c>
      <c r="B13" s="11">
        <f>VLOOKUP(Task_2!A13,Dataset!A9:X47,7,FALSE)</f>
        <v>0</v>
      </c>
      <c r="C13" s="11">
        <f>VLOOKUP(A13,Dataset!A9:X47,14,FALSE)</f>
        <v>0</v>
      </c>
      <c r="D13" s="11">
        <f>VLOOKUP(A13,Dataset!A9:X47,18,FALSE)</f>
        <v>0</v>
      </c>
      <c r="E13" s="11">
        <f>VLOOKUP(A13,Dataset!A9:X47,20,FALSE)</f>
        <v>0</v>
      </c>
      <c r="F13" s="11">
        <f>VLOOKUP(A13,Dataset!A9:X47,22,0)</f>
        <v>0</v>
      </c>
    </row>
    <row r="14" spans="1:7" ht="14.5" x14ac:dyDescent="0.35">
      <c r="A14" s="7" t="s">
        <v>16</v>
      </c>
      <c r="B14" s="11">
        <f>VLOOKUP(Task_2!A14,Dataset!A10:X48,7,FALSE)</f>
        <v>21.9</v>
      </c>
      <c r="C14" s="11">
        <f>VLOOKUP(A14,Dataset!A10:X48,14,FALSE)</f>
        <v>61.5</v>
      </c>
      <c r="D14" s="11">
        <f>VLOOKUP(A14,Dataset!A10:X48,18,FALSE)</f>
        <v>40.1</v>
      </c>
      <c r="E14" s="11">
        <f>VLOOKUP(A14,Dataset!A10:X48,20,FALSE)</f>
        <v>76.599999999999994</v>
      </c>
      <c r="F14" s="11">
        <f>VLOOKUP(A14,Dataset!A10:X48,22,0)</f>
        <v>40.1</v>
      </c>
    </row>
    <row r="15" spans="1:7" ht="14.5" x14ac:dyDescent="0.35">
      <c r="A15" s="7" t="s">
        <v>18</v>
      </c>
      <c r="B15" s="11">
        <f>VLOOKUP(Task_2!A15,Dataset!A11:X49,7,FALSE)</f>
        <v>26.8</v>
      </c>
      <c r="C15" s="11">
        <f>VLOOKUP(A15,Dataset!A11:X49,14,FALSE)</f>
        <v>79.599999999999994</v>
      </c>
      <c r="D15" s="11">
        <f>VLOOKUP(A15,Dataset!A11:X49,18,FALSE)</f>
        <v>47.9</v>
      </c>
      <c r="E15" s="11">
        <f>VLOOKUP(A15,Dataset!A11:X49,20,FALSE)</f>
        <v>96.8</v>
      </c>
      <c r="F15" s="11">
        <f>VLOOKUP(A15,Dataset!A11:X49,22,0)</f>
        <v>47.9</v>
      </c>
    </row>
    <row r="16" spans="1:7" ht="14.5" x14ac:dyDescent="0.35">
      <c r="A16" s="7" t="s">
        <v>20</v>
      </c>
      <c r="B16" s="11">
        <f>VLOOKUP(Task_2!A16,Dataset!A12:X50,7,FALSE)</f>
        <v>28.5</v>
      </c>
      <c r="C16" s="11">
        <f>VLOOKUP(A16,Dataset!A12:X50,14,FALSE)</f>
        <v>85.4</v>
      </c>
      <c r="D16" s="11">
        <f>VLOOKUP(A16,Dataset!A12:X50,18,FALSE)</f>
        <v>52.3</v>
      </c>
      <c r="E16" s="11">
        <f>VLOOKUP(A16,Dataset!A12:X50,20,FALSE)</f>
        <v>106.1</v>
      </c>
      <c r="F16" s="11">
        <f>VLOOKUP(A16,Dataset!A12:X50,22,0)</f>
        <v>52.3</v>
      </c>
    </row>
    <row r="17" spans="1:6" ht="14.5" x14ac:dyDescent="0.35">
      <c r="A17" s="7" t="s">
        <v>22</v>
      </c>
      <c r="B17" s="11">
        <f>VLOOKUP(Task_2!A17,Dataset!A13:X51,7,FALSE)</f>
        <v>30.7</v>
      </c>
      <c r="C17" s="11">
        <f>VLOOKUP(A17,Dataset!A13:X51,14,FALSE)</f>
        <v>92.1</v>
      </c>
      <c r="D17" s="11">
        <f>VLOOKUP(A17,Dataset!A13:X51,18,FALSE)</f>
        <v>57</v>
      </c>
      <c r="E17" s="11">
        <f>VLOOKUP(A17,Dataset!A13:X51,20,FALSE)</f>
        <v>115.1</v>
      </c>
      <c r="F17" s="11">
        <f>VLOOKUP(A17,Dataset!A13:X51,22,0)</f>
        <v>57</v>
      </c>
    </row>
    <row r="18" spans="1:6" ht="14.5" x14ac:dyDescent="0.35">
      <c r="A18" s="7" t="s">
        <v>23</v>
      </c>
      <c r="B18" s="11">
        <f>VLOOKUP(Task_2!A18,Dataset!A14:X52,7,FALSE)</f>
        <v>33.799999999999997</v>
      </c>
      <c r="C18" s="11">
        <f>VLOOKUP(A18,Dataset!A14:X52,14,FALSE)</f>
        <v>101.3</v>
      </c>
      <c r="D18" s="11">
        <f>VLOOKUP(A18,Dataset!A14:X52,18,FALSE)</f>
        <v>61.4</v>
      </c>
      <c r="E18" s="11">
        <f>VLOOKUP(A18,Dataset!A14:X52,20,FALSE)</f>
        <v>124.4</v>
      </c>
      <c r="F18" s="11">
        <f>VLOOKUP(A18,Dataset!A14:X52,22,0)</f>
        <v>61.4</v>
      </c>
    </row>
    <row r="19" spans="1:6" ht="14.5" x14ac:dyDescent="0.35">
      <c r="A19" s="7" t="s">
        <v>24</v>
      </c>
      <c r="B19" s="11">
        <f>VLOOKUP(Task_2!A19,Dataset!A15:X53,7,FALSE)</f>
        <v>34.700000000000003</v>
      </c>
      <c r="C19" s="11">
        <f>VLOOKUP(A19,Dataset!A15:X53,14,FALSE)</f>
        <v>106.1</v>
      </c>
      <c r="D19" s="11">
        <f>VLOOKUP(A19,Dataset!A15:X53,18,FALSE)</f>
        <v>63.6</v>
      </c>
      <c r="E19" s="11">
        <f>VLOOKUP(A19,Dataset!A15:X53,20,FALSE)</f>
        <v>128.6</v>
      </c>
      <c r="F19" s="11">
        <f>VLOOKUP(A19,Dataset!A15:X53,22,0)</f>
        <v>63.6</v>
      </c>
    </row>
    <row r="20" spans="1:6" ht="14.5" x14ac:dyDescent="0.35">
      <c r="A20" s="7" t="s">
        <v>28</v>
      </c>
      <c r="B20" s="11">
        <f>VLOOKUP(Task_2!A20,Dataset!A16:X54,7,FALSE)</f>
        <v>0</v>
      </c>
      <c r="C20" s="11">
        <f>VLOOKUP(A20,Dataset!A16:X54,14,FALSE)</f>
        <v>0</v>
      </c>
      <c r="D20" s="11">
        <f>VLOOKUP(A20,Dataset!A16:X54,18,FALSE)</f>
        <v>0</v>
      </c>
      <c r="E20" s="11">
        <f>VLOOKUP(A20,Dataset!A16:X54,20,FALSE)</f>
        <v>0</v>
      </c>
      <c r="F20" s="11">
        <f>VLOOKUP(A20,Dataset!A16:X54,22,0)</f>
        <v>0</v>
      </c>
    </row>
    <row r="21" spans="1:6" ht="14.5" x14ac:dyDescent="0.35">
      <c r="A21" s="7" t="s">
        <v>57</v>
      </c>
      <c r="B21" s="11">
        <f>VLOOKUP(Task_2!A21,Dataset!A17:X55,7,FALSE)</f>
        <v>41.3</v>
      </c>
      <c r="C21" s="11">
        <f>VLOOKUP(A21,Dataset!A17:X55,14,FALSE)</f>
        <v>124.4</v>
      </c>
      <c r="D21" s="11">
        <f>VLOOKUP(A21,Dataset!A17:X55,18,FALSE)</f>
        <v>75</v>
      </c>
      <c r="E21" s="11">
        <f>VLOOKUP(A21,Dataset!A17:X55,20,FALSE)</f>
        <v>151.5</v>
      </c>
      <c r="F21" s="11">
        <f>VLOOKUP(A21,Dataset!A17:X55,22,0)</f>
        <v>75</v>
      </c>
    </row>
    <row r="22" spans="1:6" ht="14.5" x14ac:dyDescent="0.35">
      <c r="A22" s="7" t="s">
        <v>58</v>
      </c>
      <c r="B22" s="11">
        <f>VLOOKUP(Task_2!A22,Dataset!A18:X56,7,FALSE)</f>
        <v>-1</v>
      </c>
      <c r="C22" s="11">
        <f>VLOOKUP(A22,Dataset!A18:X56,14,FALSE)</f>
        <v>-1</v>
      </c>
      <c r="D22" s="11">
        <f>VLOOKUP(A22,Dataset!A18:X56,18,FALSE)</f>
        <v>-1</v>
      </c>
      <c r="E22" s="11">
        <f>VLOOKUP(A22,Dataset!A18:X56,20,FALSE)</f>
        <v>-1</v>
      </c>
      <c r="F22" s="11">
        <f>VLOOKUP(A22,Dataset!A18:X56,22,0)</f>
        <v>-1</v>
      </c>
    </row>
    <row r="23" spans="1:6" ht="14.5" x14ac:dyDescent="0.35">
      <c r="A23" s="7" t="s">
        <v>31</v>
      </c>
      <c r="B23" s="11">
        <f>VLOOKUP(Task_2!A23,Dataset!A19:X57,7,FALSE)</f>
        <v>45</v>
      </c>
      <c r="C23" s="11">
        <f>VLOOKUP(A23,Dataset!A19:X57,14,FALSE)</f>
        <v>133.4</v>
      </c>
      <c r="D23" s="11">
        <f>VLOOKUP(A23,Dataset!A19:X57,18,FALSE)</f>
        <v>79.400000000000006</v>
      </c>
      <c r="E23" s="11">
        <f>VLOOKUP(A23,Dataset!A19:X57,20,FALSE)</f>
        <v>160.9</v>
      </c>
      <c r="F23" s="11">
        <f>VLOOKUP(A23,Dataset!A19:X57,22,0)</f>
        <v>79.400000000000006</v>
      </c>
    </row>
    <row r="24" spans="1:6" ht="14.5" x14ac:dyDescent="0.35">
      <c r="A24" s="7" t="s">
        <v>32</v>
      </c>
      <c r="B24" s="11">
        <f>VLOOKUP(Task_2!A24,Dataset!A20:X58,7,FALSE)</f>
        <v>-1</v>
      </c>
      <c r="C24" s="11">
        <f>VLOOKUP(A24,Dataset!A20:X58,14,FALSE)</f>
        <v>-1</v>
      </c>
      <c r="D24" s="11">
        <f>VLOOKUP(A24,Dataset!A20:X58,18,FALSE)</f>
        <v>-1</v>
      </c>
      <c r="E24" s="11">
        <f>VLOOKUP(A24,Dataset!A20:X58,20,FALSE)</f>
        <v>-1</v>
      </c>
      <c r="F24" s="11">
        <f>VLOOKUP(A24,Dataset!A20:X58,22,0)</f>
        <v>-1</v>
      </c>
    </row>
    <row r="25" spans="1:6" ht="14.5" x14ac:dyDescent="0.35">
      <c r="A25" s="7" t="s">
        <v>34</v>
      </c>
      <c r="B25" s="11">
        <f>VLOOKUP(Task_2!A25,Dataset!A21:X59,7,FALSE)</f>
        <v>43.3</v>
      </c>
      <c r="C25" s="11">
        <f>VLOOKUP(A25,Dataset!A21:X59,14,FALSE)</f>
        <v>128.6</v>
      </c>
      <c r="D25" s="11">
        <f>VLOOKUP(A25,Dataset!A21:X59,18,FALSE)</f>
        <v>79.400000000000006</v>
      </c>
      <c r="E25" s="11">
        <f>VLOOKUP(A25,Dataset!A21:X59,20,FALSE)</f>
        <v>160.9</v>
      </c>
      <c r="F25" s="11">
        <f>VLOOKUP(A25,Dataset!A21:X59,22,0)</f>
        <v>79.400000000000006</v>
      </c>
    </row>
    <row r="26" spans="1:6" ht="14.5" x14ac:dyDescent="0.35">
      <c r="A26" s="7" t="s">
        <v>37</v>
      </c>
      <c r="B26" s="11">
        <f>VLOOKUP(Task_2!A26,Dataset!A22:X60,7,FALSE)</f>
        <v>49.1</v>
      </c>
      <c r="C26" s="11">
        <f>VLOOKUP(A26,Dataset!A22:X60,14,FALSE)</f>
        <v>146.80000000000001</v>
      </c>
      <c r="D26" s="11">
        <f>VLOOKUP(A26,Dataset!A22:X60,18,FALSE)</f>
        <v>90.9</v>
      </c>
      <c r="E26" s="11">
        <f>VLOOKUP(A26,Dataset!A22:X60,20,FALSE)</f>
        <v>183.5</v>
      </c>
      <c r="F26" s="11">
        <f>VLOOKUP(A26,Dataset!A22:X60,22,0)</f>
        <v>90.9</v>
      </c>
    </row>
    <row r="27" spans="1:6" ht="14.5" x14ac:dyDescent="0.35">
      <c r="A27" s="7" t="s">
        <v>39</v>
      </c>
      <c r="B27" s="11">
        <f>VLOOKUP(Task_2!A27,Dataset!A23:X61,7,FALSE)</f>
        <v>51.8</v>
      </c>
      <c r="C27" s="11">
        <f>VLOOKUP(A27,Dataset!A23:X61,14,FALSE)</f>
        <v>156.4</v>
      </c>
      <c r="D27" s="11">
        <f>VLOOKUP(A27,Dataset!A23:X61,18,FALSE)</f>
        <v>93.1</v>
      </c>
      <c r="E27" s="11">
        <f>VLOOKUP(A27,Dataset!A23:X61,20,FALSE)</f>
        <v>188.1</v>
      </c>
      <c r="F27" s="11">
        <f>VLOOKUP(A27,Dataset!A23:X61,22,0)</f>
        <v>93.1</v>
      </c>
    </row>
    <row r="28" spans="1:6" ht="14.5" x14ac:dyDescent="0.35">
      <c r="A28" s="18" t="s">
        <v>82</v>
      </c>
      <c r="B28" s="11">
        <f>MIN(B6:B27)</f>
        <v>-1</v>
      </c>
      <c r="C28" s="11">
        <f t="shared" ref="C28:F28" si="0">MIN(C6:C27)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</row>
    <row r="29" spans="1:6" ht="14.5" x14ac:dyDescent="0.35">
      <c r="A29" s="18" t="s">
        <v>83</v>
      </c>
      <c r="B29" s="11">
        <f>MAX(B6:B27)</f>
        <v>51.8</v>
      </c>
      <c r="C29" s="11">
        <f t="shared" ref="C29:F29" si="1">MAX(C6:C27)</f>
        <v>156.4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4.5" x14ac:dyDescent="0.35">
      <c r="A30" s="18" t="s">
        <v>84</v>
      </c>
      <c r="B30" s="11">
        <f>AVERAGE(B6:B27)</f>
        <v>20.827272727272728</v>
      </c>
      <c r="C30" s="11">
        <f t="shared" ref="C30:F30" si="2">AVERAGE(C6:C27)</f>
        <v>62.377272727272725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4"/>
  <sheetViews>
    <sheetView topLeftCell="A37" zoomScaleNormal="100" workbookViewId="0">
      <selection activeCell="M13" sqref="M13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3" s="39" customFormat="1" ht="21" x14ac:dyDescent="0.5">
      <c r="A1" s="40" t="s">
        <v>56</v>
      </c>
      <c r="B1" s="39" t="s">
        <v>173</v>
      </c>
    </row>
    <row r="2" spans="1:13" customFormat="1" ht="13" x14ac:dyDescent="0.3"/>
    <row r="3" spans="1:13" s="2" customFormat="1" x14ac:dyDescent="0.35">
      <c r="B3" s="1"/>
    </row>
    <row r="4" spans="1:13" s="2" customFormat="1" x14ac:dyDescent="0.35">
      <c r="B4" s="1" t="s">
        <v>151</v>
      </c>
    </row>
    <row r="5" spans="1:13" ht="18.5" x14ac:dyDescent="0.45">
      <c r="A5" s="41" t="s">
        <v>53</v>
      </c>
      <c r="B5" s="44" t="s">
        <v>177</v>
      </c>
      <c r="C5" s="44"/>
      <c r="D5" s="44"/>
      <c r="E5" s="44"/>
    </row>
    <row r="6" spans="1:13" ht="18.5" x14ac:dyDescent="0.45">
      <c r="A6" s="41" t="s">
        <v>153</v>
      </c>
      <c r="B6" s="44" t="s">
        <v>178</v>
      </c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</row>
    <row r="7" spans="1:13" ht="18.5" x14ac:dyDescent="0.45">
      <c r="A7" s="41"/>
      <c r="B7" s="38"/>
    </row>
    <row r="9" spans="1:13" ht="23.5" x14ac:dyDescent="0.55000000000000004">
      <c r="A9" s="17" t="s">
        <v>164</v>
      </c>
      <c r="I9" s="2"/>
      <c r="J9" s="2"/>
    </row>
    <row r="10" spans="1:13" x14ac:dyDescent="0.3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3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3" ht="23.5" x14ac:dyDescent="0.55000000000000004">
      <c r="A14" s="17" t="s">
        <v>161</v>
      </c>
    </row>
    <row r="15" spans="1:13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3" x14ac:dyDescent="0.3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mergeCells count="2">
    <mergeCell ref="B5:E5"/>
    <mergeCell ref="B6:M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3"/>
  <sheetViews>
    <sheetView zoomScaleNormal="100" workbookViewId="0">
      <selection activeCell="B7" sqref="B7:I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9" ht="21" x14ac:dyDescent="0.5">
      <c r="A1" s="40" t="s">
        <v>85</v>
      </c>
      <c r="B1" s="39" t="s">
        <v>166</v>
      </c>
    </row>
    <row r="2" spans="1:9" ht="18.5" x14ac:dyDescent="0.45">
      <c r="B2" s="38" t="s">
        <v>165</v>
      </c>
    </row>
    <row r="5" spans="1:9" ht="14.5" x14ac:dyDescent="0.35">
      <c r="B5" s="1" t="s">
        <v>151</v>
      </c>
    </row>
    <row r="6" spans="1:9" ht="14.5" x14ac:dyDescent="0.35">
      <c r="A6" s="3" t="s">
        <v>53</v>
      </c>
      <c r="B6" s="3" t="s">
        <v>180</v>
      </c>
    </row>
    <row r="7" spans="1:9" ht="14.5" x14ac:dyDescent="0.35">
      <c r="A7" s="3" t="s">
        <v>153</v>
      </c>
      <c r="B7" s="48" t="s">
        <v>181</v>
      </c>
      <c r="C7" s="48"/>
      <c r="D7" s="48"/>
      <c r="E7" s="48"/>
      <c r="F7" s="48"/>
      <c r="G7" s="48"/>
      <c r="H7" s="48"/>
      <c r="I7" s="48"/>
    </row>
    <row r="10" spans="1:9" ht="23.5" x14ac:dyDescent="0.55000000000000004">
      <c r="A10" s="17" t="s">
        <v>161</v>
      </c>
    </row>
    <row r="11" spans="1:9" ht="14.5" x14ac:dyDescent="0.35">
      <c r="A11" s="30" t="s">
        <v>86</v>
      </c>
      <c r="B11" s="16" t="s">
        <v>87</v>
      </c>
      <c r="C11" s="16" t="s">
        <v>88</v>
      </c>
      <c r="D11" s="24" t="s">
        <v>179</v>
      </c>
    </row>
    <row r="12" spans="1:9" ht="14.5" x14ac:dyDescent="0.35">
      <c r="A12" s="30">
        <v>44927</v>
      </c>
      <c r="B12" s="16" t="s">
        <v>59</v>
      </c>
      <c r="C12" s="16">
        <v>200</v>
      </c>
      <c r="D12" s="24">
        <f>IFERROR(C12,20)</f>
        <v>200</v>
      </c>
    </row>
    <row r="13" spans="1:9" ht="14.5" x14ac:dyDescent="0.35">
      <c r="A13" s="30">
        <v>44928</v>
      </c>
      <c r="B13" s="16" t="s">
        <v>60</v>
      </c>
      <c r="C13" s="16" t="e">
        <v>#N/A</v>
      </c>
      <c r="D13" s="24">
        <f t="shared" ref="D13:D21" si="0">IFERROR(C13,20)</f>
        <v>20</v>
      </c>
    </row>
    <row r="14" spans="1:9" ht="14.5" x14ac:dyDescent="0.35">
      <c r="A14" s="30">
        <v>44929</v>
      </c>
      <c r="B14" s="16" t="s">
        <v>61</v>
      </c>
      <c r="C14" s="16">
        <v>50</v>
      </c>
      <c r="D14" s="24">
        <f t="shared" si="0"/>
        <v>50</v>
      </c>
    </row>
    <row r="15" spans="1:9" ht="14.5" x14ac:dyDescent="0.35">
      <c r="A15" s="30">
        <v>44930</v>
      </c>
      <c r="B15" s="16" t="s">
        <v>62</v>
      </c>
      <c r="C15" s="16" t="e">
        <v>#N/A</v>
      </c>
      <c r="D15" s="24">
        <f t="shared" si="0"/>
        <v>20</v>
      </c>
    </row>
    <row r="16" spans="1:9" ht="14.5" x14ac:dyDescent="0.35">
      <c r="A16" s="30">
        <v>44931</v>
      </c>
      <c r="B16" s="16" t="s">
        <v>63</v>
      </c>
      <c r="C16" s="16">
        <v>10</v>
      </c>
      <c r="D16" s="24">
        <f t="shared" si="0"/>
        <v>10</v>
      </c>
    </row>
    <row r="17" spans="1:4" ht="14.5" x14ac:dyDescent="0.35">
      <c r="A17" s="30">
        <v>44932</v>
      </c>
      <c r="B17" s="16" t="s">
        <v>154</v>
      </c>
      <c r="C17" s="16">
        <v>150</v>
      </c>
      <c r="D17" s="24">
        <f t="shared" si="0"/>
        <v>150</v>
      </c>
    </row>
    <row r="18" spans="1:4" ht="14.5" x14ac:dyDescent="0.35">
      <c r="A18" s="30">
        <v>44933</v>
      </c>
      <c r="B18" s="16" t="s">
        <v>155</v>
      </c>
      <c r="C18" s="16">
        <v>80</v>
      </c>
      <c r="D18" s="24">
        <f t="shared" si="0"/>
        <v>80</v>
      </c>
    </row>
    <row r="19" spans="1:4" ht="14.5" x14ac:dyDescent="0.35">
      <c r="A19" s="30">
        <v>44934</v>
      </c>
      <c r="B19" s="16" t="s">
        <v>156</v>
      </c>
      <c r="C19" s="16" t="e">
        <v>#N/A</v>
      </c>
      <c r="D19" s="24">
        <f t="shared" si="0"/>
        <v>20</v>
      </c>
    </row>
    <row r="20" spans="1:4" ht="14.5" x14ac:dyDescent="0.35">
      <c r="A20" s="30">
        <v>44935</v>
      </c>
      <c r="B20" s="16" t="s">
        <v>157</v>
      </c>
      <c r="C20" s="16">
        <v>30</v>
      </c>
      <c r="D20" s="24">
        <f t="shared" si="0"/>
        <v>30</v>
      </c>
    </row>
    <row r="21" spans="1:4" ht="15" thickBot="1" x14ac:dyDescent="0.4">
      <c r="A21" s="30">
        <v>44936</v>
      </c>
      <c r="B21" s="16" t="s">
        <v>158</v>
      </c>
      <c r="C21" s="16" t="e">
        <v>#N/A</v>
      </c>
      <c r="D21" s="49">
        <f t="shared" si="0"/>
        <v>20</v>
      </c>
    </row>
    <row r="22" spans="1:4" ht="15" thickBot="1" x14ac:dyDescent="0.4">
      <c r="B22" s="45"/>
      <c r="C22" s="46"/>
      <c r="D22" s="47">
        <f>SUM(D12:D21)</f>
        <v>600</v>
      </c>
    </row>
    <row r="23" spans="1:4" x14ac:dyDescent="0.3">
      <c r="B23" s="46"/>
      <c r="C23" s="46"/>
    </row>
  </sheetData>
  <mergeCells count="1">
    <mergeCell ref="B7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L1" sqref="L1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98</v>
      </c>
      <c r="B1" s="39" t="s">
        <v>174</v>
      </c>
    </row>
    <row r="3" spans="1:14" ht="14.5" x14ac:dyDescent="0.35">
      <c r="B3" s="1" t="s">
        <v>151</v>
      </c>
    </row>
    <row r="4" spans="1:14" ht="18.5" x14ac:dyDescent="0.45">
      <c r="A4" s="41" t="s">
        <v>53</v>
      </c>
      <c r="B4" s="1"/>
      <c r="C4" s="51" t="s">
        <v>182</v>
      </c>
      <c r="D4" s="51"/>
      <c r="E4" s="51"/>
      <c r="F4" s="51"/>
      <c r="G4" s="51"/>
      <c r="H4" s="51"/>
      <c r="I4" s="51"/>
      <c r="J4" s="51"/>
      <c r="K4" s="51"/>
    </row>
    <row r="5" spans="1:14" ht="18.5" x14ac:dyDescent="0.45">
      <c r="A5" s="41" t="s">
        <v>153</v>
      </c>
      <c r="B5" s="1"/>
      <c r="C5" s="2" t="s">
        <v>183</v>
      </c>
    </row>
    <row r="6" spans="1:14" ht="14.5" x14ac:dyDescent="0.35">
      <c r="A6" s="3"/>
      <c r="B6" s="1"/>
    </row>
    <row r="7" spans="1:14" ht="14.5" x14ac:dyDescent="0.35">
      <c r="H7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167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50" t="b">
        <f>IF(ISERROR(VLOOKUP(A2,$B$2:$B$1001,1,FALSE)),FALSE,TRUE)</f>
        <v>0</v>
      </c>
    </row>
    <row r="24" spans="1:14" ht="14.5" x14ac:dyDescent="0.35">
      <c r="A24" s="7">
        <v>10100</v>
      </c>
      <c r="B24" s="11">
        <v>10104</v>
      </c>
      <c r="C24" s="50" t="b">
        <f t="shared" ref="C24:C35" si="0">IF(ISERROR(VLOOKUP(A3,$B$2:$B$1001,1,FALSE)),FALSE,TRUE)</f>
        <v>0</v>
      </c>
    </row>
    <row r="25" spans="1:14" ht="14.5" x14ac:dyDescent="0.35">
      <c r="A25" s="7">
        <v>10108</v>
      </c>
      <c r="B25" s="11">
        <v>10102</v>
      </c>
      <c r="C25" s="50" t="b">
        <f t="shared" si="0"/>
        <v>0</v>
      </c>
    </row>
    <row r="26" spans="1:14" ht="14.5" x14ac:dyDescent="0.35">
      <c r="A26" s="7">
        <v>10100</v>
      </c>
      <c r="B26" s="11">
        <v>10106</v>
      </c>
      <c r="C26" s="50" t="b">
        <f t="shared" si="0"/>
        <v>0</v>
      </c>
    </row>
    <row r="27" spans="1:14" ht="14.5" x14ac:dyDescent="0.35">
      <c r="A27" s="7">
        <v>10108</v>
      </c>
      <c r="B27" s="11">
        <v>10110</v>
      </c>
      <c r="C27" s="50" t="b">
        <f t="shared" si="0"/>
        <v>0</v>
      </c>
    </row>
    <row r="28" spans="1:14" ht="14.5" x14ac:dyDescent="0.35">
      <c r="A28" s="7">
        <v>10102</v>
      </c>
      <c r="B28" s="11">
        <v>10104</v>
      </c>
      <c r="C28" s="50" t="b">
        <f t="shared" si="0"/>
        <v>0</v>
      </c>
    </row>
    <row r="29" spans="1:14" ht="14.5" x14ac:dyDescent="0.35">
      <c r="A29" s="7">
        <v>10106</v>
      </c>
      <c r="B29" s="11">
        <v>10108</v>
      </c>
      <c r="C29" s="50" t="b">
        <f t="shared" si="0"/>
        <v>0</v>
      </c>
    </row>
    <row r="30" spans="1:14" ht="14.5" x14ac:dyDescent="0.35">
      <c r="A30" s="7">
        <v>10102</v>
      </c>
      <c r="B30" s="11">
        <v>10106</v>
      </c>
      <c r="C30" s="50" t="b">
        <f>IF(ISERROR(VLOOKUP(A9,$B$2:$B$1001,1,FALSE)),FALSE,TRUE)</f>
        <v>0</v>
      </c>
    </row>
    <row r="31" spans="1:14" ht="14.5" x14ac:dyDescent="0.35">
      <c r="A31" s="7">
        <v>10110</v>
      </c>
      <c r="B31" s="11">
        <v>10114</v>
      </c>
      <c r="C31" s="50" t="b">
        <f t="shared" si="0"/>
        <v>1</v>
      </c>
    </row>
    <row r="32" spans="1:14" ht="14.5" x14ac:dyDescent="0.35">
      <c r="A32" s="7">
        <v>10104</v>
      </c>
      <c r="B32" s="11">
        <v>10106</v>
      </c>
      <c r="C32" s="50" t="b">
        <f t="shared" si="0"/>
        <v>0</v>
      </c>
    </row>
    <row r="33" spans="1:3" ht="14.5" x14ac:dyDescent="0.35">
      <c r="A33" s="7">
        <v>10110</v>
      </c>
      <c r="B33" s="11">
        <v>10112</v>
      </c>
      <c r="C33" s="50" t="b">
        <f>IF(ISERROR(VLOOKUP(A12,$B$2:$B$1001,1,FALSE)),FALSE,TRUE)</f>
        <v>0</v>
      </c>
    </row>
    <row r="34" spans="1:3" ht="14.5" x14ac:dyDescent="0.35">
      <c r="A34" s="7">
        <v>10100</v>
      </c>
      <c r="B34" s="11">
        <v>10114</v>
      </c>
      <c r="C34" s="50" t="b">
        <f t="shared" si="0"/>
        <v>0</v>
      </c>
    </row>
    <row r="35" spans="1:3" ht="14.5" x14ac:dyDescent="0.35">
      <c r="A35" s="8">
        <v>10112</v>
      </c>
      <c r="B35" s="12">
        <v>10116</v>
      </c>
      <c r="C35" s="50" t="b">
        <f t="shared" si="0"/>
        <v>0</v>
      </c>
    </row>
  </sheetData>
  <mergeCells count="1">
    <mergeCell ref="C4:K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BusinessComputers.in</cp:lastModifiedBy>
  <dcterms:created xsi:type="dcterms:W3CDTF">2015-02-10T17:33:11Z</dcterms:created>
  <dcterms:modified xsi:type="dcterms:W3CDTF">2023-12-08T17:28:55Z</dcterms:modified>
</cp:coreProperties>
</file>